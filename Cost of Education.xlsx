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80" windowWidth="18195" windowHeight="105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20" i="1" l="1"/>
  <c r="C11" i="1"/>
  <c r="C10" i="1"/>
  <c r="C9" i="1"/>
  <c r="C8" i="1"/>
  <c r="C7" i="1"/>
  <c r="F10" i="1"/>
  <c r="F9" i="1"/>
  <c r="F8" i="1"/>
  <c r="F7" i="1"/>
  <c r="K22" i="1" l="1"/>
  <c r="K21" i="1"/>
  <c r="K20" i="1"/>
  <c r="F14" i="1"/>
  <c r="F13" i="1"/>
  <c r="F12" i="1"/>
  <c r="I12" i="1" s="1"/>
  <c r="F11" i="1"/>
  <c r="I11" i="1" s="1"/>
  <c r="C15" i="1"/>
  <c r="C14" i="1"/>
  <c r="C13" i="1"/>
  <c r="C12" i="1"/>
  <c r="I3" i="1"/>
  <c r="I4" i="1"/>
  <c r="I5" i="1"/>
  <c r="I6" i="1"/>
  <c r="I7" i="1"/>
  <c r="I8" i="1"/>
  <c r="I9" i="1"/>
  <c r="I10" i="1"/>
  <c r="I13" i="1"/>
  <c r="I14" i="1"/>
  <c r="I15" i="1"/>
  <c r="I16" i="1"/>
  <c r="I17" i="1"/>
  <c r="I2" i="1"/>
  <c r="F6" i="1"/>
  <c r="F5" i="1"/>
  <c r="F4" i="1"/>
  <c r="F3" i="1"/>
  <c r="F2" i="1"/>
  <c r="C6" i="1"/>
  <c r="C5" i="1"/>
  <c r="C4" i="1"/>
  <c r="C3" i="1"/>
  <c r="C2" i="1"/>
  <c r="I25" i="1" l="1"/>
  <c r="I26" i="1" s="1"/>
  <c r="I21" i="1"/>
</calcChain>
</file>

<file path=xl/sharedStrings.xml><?xml version="1.0" encoding="utf-8"?>
<sst xmlns="http://schemas.openxmlformats.org/spreadsheetml/2006/main" count="63" uniqueCount="31">
  <si>
    <t>Lasya Expense by Grade</t>
  </si>
  <si>
    <t>Gagan Expense by Grade</t>
  </si>
  <si>
    <t>Comment</t>
  </si>
  <si>
    <t>expense per year</t>
  </si>
  <si>
    <t>After care (700$/month school months, 1300$/per month holiday months), activities (500$ per month)</t>
  </si>
  <si>
    <t>"</t>
  </si>
  <si>
    <t>Total Expense/year</t>
  </si>
  <si>
    <t>Year</t>
  </si>
  <si>
    <t>50,000$ tution, 25,000$ living</t>
  </si>
  <si>
    <t>ungrad1</t>
  </si>
  <si>
    <t>ungrad2</t>
  </si>
  <si>
    <t>ungrad3</t>
  </si>
  <si>
    <t>ungrad4</t>
  </si>
  <si>
    <t>grad1</t>
  </si>
  <si>
    <t>grad2</t>
  </si>
  <si>
    <t xml:space="preserve">estimation as per cornell </t>
  </si>
  <si>
    <t>Assets</t>
  </si>
  <si>
    <t>Value</t>
  </si>
  <si>
    <t>vijaya nagaram</t>
  </si>
  <si>
    <t>rishikonda</t>
  </si>
  <si>
    <t>marripalem</t>
  </si>
  <si>
    <t>mothi nagar</t>
  </si>
  <si>
    <t>cash</t>
  </si>
  <si>
    <t>Total asset holdings in INR</t>
  </si>
  <si>
    <t>Total asset holdings in USD</t>
  </si>
  <si>
    <t>Total asset holdings after taxes in USD</t>
  </si>
  <si>
    <t>Goal in USD</t>
  </si>
  <si>
    <t>Goal in INR</t>
  </si>
  <si>
    <t>45000$ private school fees, After care (700$/month school months, 1300$/per month holiday months), activities (500$ per month)</t>
  </si>
  <si>
    <t>Hight school, UnderGrad and Grade Cost in USD</t>
  </si>
  <si>
    <t>Hight school, UnderGrad and Grade Cost in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</si>
</sst>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[$INR]\ * #,##0.00_);_([$INR]\ * \(#,##0.00\);_([$INR]\ 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3" fillId="0" borderId="0" xfId="0" applyFont="1"/>
    <xf numFmtId="44" fontId="3" fillId="0" borderId="0" xfId="0" applyNumberFormat="1" applyFont="1"/>
    <xf numFmtId="0" fontId="2" fillId="0" borderId="0" xfId="0" applyFont="1"/>
    <xf numFmtId="44" fontId="2" fillId="0" borderId="0" xfId="0" applyNumberFormat="1" applyFont="1"/>
    <xf numFmtId="16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C1" workbookViewId="0">
      <selection activeCell="I21" sqref="I21"/>
    </sheetView>
  </sheetViews>
  <sheetFormatPr defaultRowHeight="15" x14ac:dyDescent="0.25"/>
  <cols>
    <col min="2" max="2" width="22.28515625" style="3" bestFit="1" customWidth="1"/>
    <col min="3" max="3" width="19.140625" customWidth="1"/>
    <col min="4" max="4" width="45.28515625" customWidth="1"/>
    <col min="5" max="5" width="18.85546875" style="3" bestFit="1" customWidth="1"/>
    <col min="6" max="6" width="12" customWidth="1"/>
    <col min="7" max="8" width="33.7109375" customWidth="1"/>
    <col min="9" max="9" width="18.7109375" bestFit="1" customWidth="1"/>
    <col min="10" max="10" width="28" customWidth="1"/>
    <col min="11" max="11" width="18" bestFit="1" customWidth="1"/>
  </cols>
  <sheetData>
    <row r="1" spans="1:11" x14ac:dyDescent="0.25">
      <c r="A1" t="s">
        <v>7</v>
      </c>
      <c r="B1" s="3" t="s">
        <v>0</v>
      </c>
      <c r="C1" t="s">
        <v>3</v>
      </c>
      <c r="D1" t="s">
        <v>2</v>
      </c>
      <c r="E1" s="3" t="s">
        <v>1</v>
      </c>
      <c r="I1" t="s">
        <v>6</v>
      </c>
      <c r="J1" t="s">
        <v>16</v>
      </c>
      <c r="K1" t="s">
        <v>17</v>
      </c>
    </row>
    <row r="2" spans="1:11" ht="45" x14ac:dyDescent="0.25">
      <c r="A2">
        <v>2017</v>
      </c>
      <c r="B2" s="3">
        <v>3</v>
      </c>
      <c r="C2">
        <f>(1300*3) + ( 700 * 12) + (500 *12)</f>
        <v>18300</v>
      </c>
      <c r="D2" s="1" t="s">
        <v>4</v>
      </c>
      <c r="E2" s="3">
        <v>4</v>
      </c>
      <c r="F2">
        <f t="shared" ref="F2:F10" si="0">(1300*3) + ( 700 * 12) + (500 *12)</f>
        <v>18300</v>
      </c>
      <c r="G2" s="1" t="s">
        <v>4</v>
      </c>
      <c r="H2" s="1"/>
      <c r="I2" s="5">
        <f>SUM(F2,C2)</f>
        <v>36600</v>
      </c>
      <c r="J2" t="s">
        <v>18</v>
      </c>
      <c r="K2" s="8">
        <v>0</v>
      </c>
    </row>
    <row r="3" spans="1:11" x14ac:dyDescent="0.25">
      <c r="A3">
        <v>2018</v>
      </c>
      <c r="B3" s="3">
        <v>4</v>
      </c>
      <c r="C3">
        <f t="shared" ref="C3:C11" si="1">(1300*3) + ( 700 * 12) + (500 *12)</f>
        <v>18300</v>
      </c>
      <c r="D3" s="2" t="s">
        <v>5</v>
      </c>
      <c r="E3" s="3">
        <v>5</v>
      </c>
      <c r="F3">
        <f t="shared" si="0"/>
        <v>18300</v>
      </c>
      <c r="G3" s="2" t="s">
        <v>5</v>
      </c>
      <c r="H3" s="2"/>
      <c r="I3" s="5">
        <f t="shared" ref="I3:I17" si="2">SUM(F3,C3)</f>
        <v>36600</v>
      </c>
      <c r="J3" t="s">
        <v>19</v>
      </c>
      <c r="K3" s="8">
        <v>0</v>
      </c>
    </row>
    <row r="4" spans="1:11" x14ac:dyDescent="0.25">
      <c r="A4">
        <v>2019</v>
      </c>
      <c r="B4" s="3">
        <v>5</v>
      </c>
      <c r="C4">
        <f t="shared" si="1"/>
        <v>18300</v>
      </c>
      <c r="D4" s="2" t="s">
        <v>5</v>
      </c>
      <c r="E4" s="3">
        <v>6</v>
      </c>
      <c r="F4">
        <f t="shared" si="0"/>
        <v>18300</v>
      </c>
      <c r="G4" s="2" t="s">
        <v>5</v>
      </c>
      <c r="H4" s="2"/>
      <c r="I4" s="5">
        <f t="shared" si="2"/>
        <v>36600</v>
      </c>
      <c r="J4" t="s">
        <v>20</v>
      </c>
      <c r="K4" s="8">
        <v>9000000</v>
      </c>
    </row>
    <row r="5" spans="1:11" x14ac:dyDescent="0.25">
      <c r="A5">
        <v>2020</v>
      </c>
      <c r="B5" s="3">
        <v>6</v>
      </c>
      <c r="C5">
        <f t="shared" si="1"/>
        <v>18300</v>
      </c>
      <c r="D5" s="2" t="s">
        <v>5</v>
      </c>
      <c r="E5" s="3">
        <v>7</v>
      </c>
      <c r="F5">
        <f t="shared" si="0"/>
        <v>18300</v>
      </c>
      <c r="G5" s="2" t="s">
        <v>5</v>
      </c>
      <c r="H5" s="2"/>
      <c r="I5" s="5">
        <f t="shared" si="2"/>
        <v>36600</v>
      </c>
      <c r="J5" t="s">
        <v>21</v>
      </c>
      <c r="K5" s="8">
        <v>12000000</v>
      </c>
    </row>
    <row r="6" spans="1:11" x14ac:dyDescent="0.25">
      <c r="A6">
        <v>2021</v>
      </c>
      <c r="B6" s="3">
        <v>7</v>
      </c>
      <c r="C6">
        <f t="shared" si="1"/>
        <v>18300</v>
      </c>
      <c r="D6" s="2" t="s">
        <v>5</v>
      </c>
      <c r="E6" s="3">
        <v>8</v>
      </c>
      <c r="F6">
        <f t="shared" si="0"/>
        <v>18300</v>
      </c>
      <c r="G6" s="2" t="s">
        <v>5</v>
      </c>
      <c r="H6" s="2"/>
      <c r="I6" s="5">
        <f t="shared" si="2"/>
        <v>36600</v>
      </c>
      <c r="J6" t="s">
        <v>22</v>
      </c>
      <c r="K6" s="8">
        <v>2300000</v>
      </c>
    </row>
    <row r="7" spans="1:11" ht="60" x14ac:dyDescent="0.25">
      <c r="A7">
        <v>2022</v>
      </c>
      <c r="B7" s="3">
        <v>8</v>
      </c>
      <c r="C7">
        <f t="shared" si="1"/>
        <v>18300</v>
      </c>
      <c r="D7" s="2" t="s">
        <v>5</v>
      </c>
      <c r="E7" s="3">
        <v>9</v>
      </c>
      <c r="F7">
        <f>(1300*3) + ( 700 * 12) + (500 *12) + 45000</f>
        <v>63300</v>
      </c>
      <c r="G7" s="1" t="s">
        <v>28</v>
      </c>
      <c r="H7" s="2"/>
      <c r="I7" s="5">
        <f t="shared" si="2"/>
        <v>81600</v>
      </c>
    </row>
    <row r="8" spans="1:11" ht="45" x14ac:dyDescent="0.25">
      <c r="A8">
        <v>2023</v>
      </c>
      <c r="B8" s="3">
        <v>9</v>
      </c>
      <c r="C8">
        <f>(1300*3) + ( 700 * 12) + (500 *12) + 45000</f>
        <v>63300</v>
      </c>
      <c r="D8" s="1" t="s">
        <v>28</v>
      </c>
      <c r="E8" s="3">
        <v>10</v>
      </c>
      <c r="F8">
        <f t="shared" ref="F8:F10" si="3">(1300*3) + ( 700 * 12) + (500 *12) + 45000</f>
        <v>63300</v>
      </c>
      <c r="G8" s="2" t="s">
        <v>5</v>
      </c>
      <c r="H8" s="2"/>
      <c r="I8" s="5">
        <f t="shared" si="2"/>
        <v>126600</v>
      </c>
    </row>
    <row r="9" spans="1:11" x14ac:dyDescent="0.25">
      <c r="A9">
        <v>2024</v>
      </c>
      <c r="B9" s="3">
        <v>10</v>
      </c>
      <c r="C9">
        <f t="shared" ref="C9:C11" si="4">(1300*3) + ( 700 * 12) + (500 *12) + 45000</f>
        <v>63300</v>
      </c>
      <c r="D9" s="2" t="s">
        <v>5</v>
      </c>
      <c r="E9" s="3">
        <v>11</v>
      </c>
      <c r="F9">
        <f t="shared" si="3"/>
        <v>63300</v>
      </c>
      <c r="G9" s="2" t="s">
        <v>5</v>
      </c>
      <c r="H9" s="2"/>
      <c r="I9" s="5">
        <f t="shared" si="2"/>
        <v>126600</v>
      </c>
    </row>
    <row r="10" spans="1:11" x14ac:dyDescent="0.25">
      <c r="A10">
        <v>2025</v>
      </c>
      <c r="B10" s="3">
        <v>11</v>
      </c>
      <c r="C10">
        <f t="shared" si="4"/>
        <v>63300</v>
      </c>
      <c r="D10" s="2" t="s">
        <v>5</v>
      </c>
      <c r="E10" s="3">
        <v>12</v>
      </c>
      <c r="F10">
        <f t="shared" si="3"/>
        <v>63300</v>
      </c>
      <c r="G10" s="2" t="s">
        <v>5</v>
      </c>
      <c r="H10" s="2"/>
      <c r="I10" s="5">
        <f t="shared" si="2"/>
        <v>126600</v>
      </c>
    </row>
    <row r="11" spans="1:11" x14ac:dyDescent="0.25">
      <c r="A11">
        <v>2026</v>
      </c>
      <c r="B11" s="3">
        <v>12</v>
      </c>
      <c r="C11">
        <f t="shared" si="4"/>
        <v>63300</v>
      </c>
      <c r="D11" s="2" t="s">
        <v>5</v>
      </c>
      <c r="E11" s="3" t="s">
        <v>9</v>
      </c>
      <c r="F11">
        <f>75000</f>
        <v>75000</v>
      </c>
      <c r="G11" s="2" t="s">
        <v>8</v>
      </c>
      <c r="H11" s="2"/>
      <c r="I11" s="5">
        <f t="shared" si="2"/>
        <v>138300</v>
      </c>
    </row>
    <row r="12" spans="1:11" x14ac:dyDescent="0.25">
      <c r="A12">
        <v>2027</v>
      </c>
      <c r="B12" s="3" t="s">
        <v>9</v>
      </c>
      <c r="C12">
        <f>75000</f>
        <v>75000</v>
      </c>
      <c r="D12" s="2" t="s">
        <v>8</v>
      </c>
      <c r="E12" s="3" t="s">
        <v>10</v>
      </c>
      <c r="F12">
        <f>75000</f>
        <v>75000</v>
      </c>
      <c r="G12" s="2" t="s">
        <v>5</v>
      </c>
      <c r="I12" s="5">
        <f t="shared" si="2"/>
        <v>150000</v>
      </c>
    </row>
    <row r="13" spans="1:11" x14ac:dyDescent="0.25">
      <c r="A13">
        <v>2028</v>
      </c>
      <c r="B13" s="3" t="s">
        <v>10</v>
      </c>
      <c r="C13">
        <f>75000</f>
        <v>75000</v>
      </c>
      <c r="D13" s="2" t="s">
        <v>5</v>
      </c>
      <c r="E13" s="3" t="s">
        <v>11</v>
      </c>
      <c r="F13">
        <f>75000</f>
        <v>75000</v>
      </c>
      <c r="G13" s="2" t="s">
        <v>5</v>
      </c>
      <c r="I13" s="5">
        <f t="shared" si="2"/>
        <v>150000</v>
      </c>
    </row>
    <row r="14" spans="1:11" x14ac:dyDescent="0.25">
      <c r="A14">
        <v>2029</v>
      </c>
      <c r="B14" s="3" t="s">
        <v>11</v>
      </c>
      <c r="C14">
        <f>75000</f>
        <v>75000</v>
      </c>
      <c r="D14" s="2" t="s">
        <v>5</v>
      </c>
      <c r="E14" s="3" t="s">
        <v>12</v>
      </c>
      <c r="F14">
        <f>75000</f>
        <v>75000</v>
      </c>
      <c r="G14" s="2" t="s">
        <v>5</v>
      </c>
      <c r="I14" s="5">
        <f t="shared" si="2"/>
        <v>150000</v>
      </c>
    </row>
    <row r="15" spans="1:11" x14ac:dyDescent="0.25">
      <c r="A15">
        <v>2030</v>
      </c>
      <c r="B15" s="3" t="s">
        <v>12</v>
      </c>
      <c r="C15">
        <f>75000</f>
        <v>75000</v>
      </c>
      <c r="D15" s="2" t="s">
        <v>5</v>
      </c>
      <c r="E15" s="3" t="s">
        <v>13</v>
      </c>
      <c r="F15" s="4">
        <v>102000</v>
      </c>
      <c r="G15" s="2" t="s">
        <v>15</v>
      </c>
      <c r="I15" s="5">
        <f t="shared" si="2"/>
        <v>177000</v>
      </c>
    </row>
    <row r="16" spans="1:11" x14ac:dyDescent="0.25">
      <c r="A16">
        <v>2031</v>
      </c>
      <c r="B16" s="3" t="s">
        <v>13</v>
      </c>
      <c r="C16" s="4">
        <v>102000</v>
      </c>
      <c r="D16" s="2" t="s">
        <v>15</v>
      </c>
      <c r="E16" s="3" t="s">
        <v>14</v>
      </c>
      <c r="F16" s="4">
        <v>102000</v>
      </c>
      <c r="G16" s="2" t="s">
        <v>5</v>
      </c>
      <c r="I16" s="5">
        <f t="shared" si="2"/>
        <v>204000</v>
      </c>
    </row>
    <row r="17" spans="1:11" x14ac:dyDescent="0.25">
      <c r="A17">
        <v>2032</v>
      </c>
      <c r="B17" s="3" t="s">
        <v>14</v>
      </c>
      <c r="C17" s="4">
        <v>102000</v>
      </c>
      <c r="D17" s="2" t="s">
        <v>5</v>
      </c>
      <c r="I17" s="5">
        <f t="shared" si="2"/>
        <v>102000</v>
      </c>
    </row>
    <row r="20" spans="1:11" x14ac:dyDescent="0.25">
      <c r="H20" t="s">
        <v>29</v>
      </c>
      <c r="I20" s="6">
        <f>SUM(I7:I17)</f>
        <v>1532700</v>
      </c>
      <c r="J20" t="s">
        <v>23</v>
      </c>
      <c r="K20" s="7">
        <f>SUM(K2:K17)</f>
        <v>23300000</v>
      </c>
    </row>
    <row r="21" spans="1:11" x14ac:dyDescent="0.25">
      <c r="H21" t="s">
        <v>30</v>
      </c>
      <c r="I21" s="8">
        <f>I20*68</f>
        <v>104223600</v>
      </c>
      <c r="J21" t="s">
        <v>24</v>
      </c>
      <c r="K21" s="5">
        <f>K20/68</f>
        <v>342647.0588235294</v>
      </c>
    </row>
    <row r="22" spans="1:11" x14ac:dyDescent="0.25">
      <c r="J22" s="9" t="s">
        <v>25</v>
      </c>
      <c r="K22" s="10">
        <f>K21*78/100</f>
        <v>267264.70588235295</v>
      </c>
    </row>
    <row r="25" spans="1:11" x14ac:dyDescent="0.25">
      <c r="H25" s="11" t="s">
        <v>26</v>
      </c>
      <c r="I25" s="12">
        <f>K22-I20</f>
        <v>-1265435.294117647</v>
      </c>
    </row>
    <row r="26" spans="1:11" x14ac:dyDescent="0.25">
      <c r="H26" s="11" t="s">
        <v>27</v>
      </c>
      <c r="I26" s="13">
        <f>I25*68</f>
        <v>-86049600</v>
      </c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Verizon Wireless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 Voonna</dc:creator>
  <cp:lastModifiedBy>Thiru Voonna</cp:lastModifiedBy>
  <dcterms:created xsi:type="dcterms:W3CDTF">2016-07-16T02:49:35Z</dcterms:created>
  <dcterms:modified xsi:type="dcterms:W3CDTF">2016-08-01T19:18:04Z</dcterms:modified>
</cp:coreProperties>
</file>